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F:\1产业工程\产业\B站运营\资料\带广告引流\基于STM32智能窗帘\"/>
    </mc:Choice>
  </mc:AlternateContent>
  <xr:revisionPtr revIDLastSave="0" documentId="13_ncr:1_{F0CE55FC-74B3-434D-94E7-330CCB75B9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12" i="1" l="1"/>
  <c r="D5" i="1"/>
  <c r="D4" i="1"/>
  <c r="D2" i="1"/>
</calcChain>
</file>

<file path=xl/sharedStrings.xml><?xml version="1.0" encoding="utf-8"?>
<sst xmlns="http://schemas.openxmlformats.org/spreadsheetml/2006/main" count="25" uniqueCount="25">
  <si>
    <t>材料名称</t>
  </si>
  <si>
    <t>单价</t>
  </si>
  <si>
    <t>数量</t>
  </si>
  <si>
    <t>金额</t>
  </si>
  <si>
    <t>淘宝链接</t>
  </si>
  <si>
    <t>STM32F103C8T6最小系统板</t>
  </si>
  <si>
    <t>https://detail.tmall.com/item.htm?spm=a230r.1.14.16.67989430aOdnur&amp;id=535614102774&amp;ns=1&amp;abbucket=7&amp;skuId=4210184609575</t>
  </si>
  <si>
    <t>0.96寸IIC通讯OLED屏幕</t>
  </si>
  <si>
    <t>https://detail.tmall.com/item.htm?spm=a1z10.3-b-s.w4011-21581912015.46.71f35535LxdLcu&amp;id=555789848567&amp;rn=e2e750ce90382a60f246903a6df7aee1&amp;abbucket=15</t>
  </si>
  <si>
    <t>万能板万用板电路板洞洞板9*15cm</t>
  </si>
  <si>
    <t>https://detail.tmall.com/item.htm?spm=a1z10.3-b-s.w4011-21581912015.56.4d115535LrUsKe&amp;id=17952641393&amp;rn=64ecace6be3f1750568ae3897215695d&amp;abbucket=15&amp;skuId=3780223261646</t>
  </si>
  <si>
    <t>DS1302实时时钟模块</t>
  </si>
  <si>
    <t>https://detail.tmall.com/item.htm?spm=a1z10.3-b-s.w4011-16538328900.35.7d573d6cPJyfkz&amp;id=41161779230&amp;rn=2290f3723d85a36bab2593cd4099d9d6&amp;abbucket=15&amp;skuId=4021392105896</t>
  </si>
  <si>
    <t>HC-02蓝牙</t>
  </si>
  <si>
    <t>https://detail.tmall.com/item.htm?spm=a230r.1.14.23.2a9236d32EX0EJ&amp;id=41281471872&amp;ns=1&amp;abbucket=7&amp;skuId=4087868706736</t>
  </si>
  <si>
    <t>步进电机+驱动板</t>
  </si>
  <si>
    <t>https://detail.tmall.com/item.htm?id=38688094766&amp;ali_refid=a3_430583_1006:1104520036:N:o+GdZxAGrGV4Z+4S7irb6Q==:bbca9f9e7183da85a4c549990be9ce2b&amp;ali_trackid=1_bbca9f9e7183da85a4c549990be9ce2b&amp;spm=a230r.1.14.1&amp;skuId=4281023455835</t>
  </si>
  <si>
    <t>语音模块播放JR6001</t>
  </si>
  <si>
    <t>https://detail.tmall.com/item.htm?spm=a230r.1.14.111.147b4ab6ERFRoW&amp;id=634372706362&amp;ns=1&amp;abbucket=7</t>
  </si>
  <si>
    <t>DHT11温湿度传感器</t>
  </si>
  <si>
    <t>https://detail.tmall.com/item.htm?id=15598344236&amp;ali_refid=a3_430582_1006:1104520036:N:TAiHo9GD8eTurMzH21/csQ==:91597f14e4f8c1c74ed04710174fd346&amp;ali_trackid=1_91597f14e4f8c1c74ed04710174fd346&amp;spm=a230r.1.14.1&amp;skuId=4287193319921</t>
  </si>
  <si>
    <t>小喇叭扬声器</t>
  </si>
  <si>
    <t>https://detail.tmall.com/item.htm?spm=a1z10.3-b-s.w4011-16538328900.38.32283d6caWZWus&amp;id=536616543645&amp;rn=7ebd1939fbfd54e06e44ef976103269e&amp;abbucket=15&amp;skuId=3740943541793</t>
  </si>
  <si>
    <t>耗材费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</si>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</sst>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id=15598344236&amp;ali_refid=a3_430582_1006:1104520036:N:TAiHo9GD8eTurMzH21/csQ==:91597f14e4f8c1c74ed04710174fd346&amp;ali_trackid=1_91597f14e4f8c1c74ed04710174fd346&amp;spm=a230r.1.14.1&amp;skuId=4287193319921" TargetMode="External"/><Relationship Id="rId3" Type="http://schemas.openxmlformats.org/officeDocument/2006/relationships/hyperlink" Target="https://item.taobao.com/item.htm?spm=a1z0d.6639537.1997196601.22.68107484cLQpPE&amp;id=580065645325" TargetMode="External"/><Relationship Id="rId7" Type="http://schemas.openxmlformats.org/officeDocument/2006/relationships/hyperlink" Target="https://detail.tmall.com/item.htm?spm=a230r.1.14.111.147b4ab6ERFRoW&amp;id=634372706362&amp;ns=1&amp;abbucket=7" TargetMode="External"/><Relationship Id="rId2" Type="http://schemas.openxmlformats.org/officeDocument/2006/relationships/hyperlink" Target="https://detail.tmall.com/item.htm?spm=a1z10.3-b-s.w4011-16538328900.35.7d573d6cPJyfkz&amp;id=41161779230&amp;rn=2290f3723d85a36bab2593cd4099d9d6&amp;abbucket=15&amp;skuId=4021392105896" TargetMode="External"/><Relationship Id="rId1" Type="http://schemas.openxmlformats.org/officeDocument/2006/relationships/hyperlink" Target="https://detail.tmall.com/item.htm?spm=a1z10.3-b-s.w4011-21581912015.56.4d115535LrUsKe&amp;id=17952641393&amp;rn=64ecace6be3f1750568ae3897215695d&amp;abbucket=15&amp;skuId=3780223261646" TargetMode="External"/><Relationship Id="rId6" Type="http://schemas.openxmlformats.org/officeDocument/2006/relationships/hyperlink" Target="https://detail.tmall.com/item.htm?id=38688094766&amp;ali_refid=a3_430583_1006:1104520036:N:o+GdZxAGrGV4Z+4S7irb6Q==:bbca9f9e7183da85a4c549990be9ce2b&amp;ali_trackid=1_bbca9f9e7183da85a4c549990be9ce2b&amp;spm=a230r.1.14.1&amp;skuId=4281023455835" TargetMode="External"/><Relationship Id="rId5" Type="http://schemas.openxmlformats.org/officeDocument/2006/relationships/hyperlink" Target="https://detail.tmall.com/item.htm?spm=a230r.1.14.23.2a9236d32EX0EJ&amp;id=41281471872&amp;ns=1&amp;abbucket=7&amp;skuId=4087868706736" TargetMode="External"/><Relationship Id="rId4" Type="http://schemas.openxmlformats.org/officeDocument/2006/relationships/hyperlink" Target="https://detail.tmall.com/item.htm?spm=a1z10.3-b-s.w4011-21581912015.46.71f35535LxdLcu&amp;id=555789848567&amp;rn=e2e750ce90382a60f246903a6df7aee1&amp;abbucket=15" TargetMode="External"/><Relationship Id="rId9" Type="http://schemas.openxmlformats.org/officeDocument/2006/relationships/hyperlink" Target="https://detail.tmall.com/item.htm?spm=a1z10.3-b-s.w4011-16538328900.38.32283d6caWZWus&amp;id=536616543645&amp;rn=7ebd1939fbfd54e06e44ef976103269e&amp;abbucket=15&amp;skuId=3740943541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E15" sqref="E15:E17"/>
    </sheetView>
  </sheetViews>
  <sheetFormatPr defaultColWidth="9" defaultRowHeight="14.4" x14ac:dyDescent="0.25"/>
  <cols>
    <col min="1" max="1" width="34.77734375" style="1" customWidth="1"/>
    <col min="2" max="3" width="9" style="1"/>
    <col min="4" max="4" width="25.21875" style="1" customWidth="1"/>
    <col min="5" max="5" width="210.21875" style="1" customWidth="1"/>
    <col min="6" max="16384" width="9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 t="s">
        <v>5</v>
      </c>
      <c r="B2" s="1">
        <v>47.72</v>
      </c>
      <c r="C2" s="1">
        <v>1</v>
      </c>
      <c r="D2" s="1">
        <f>C2*B2</f>
        <v>47.72</v>
      </c>
      <c r="E2" s="2" t="s">
        <v>6</v>
      </c>
    </row>
    <row r="3" spans="1:6" customFormat="1" x14ac:dyDescent="0.25">
      <c r="A3" s="1" t="s">
        <v>7</v>
      </c>
      <c r="B3" s="1">
        <v>24.29</v>
      </c>
      <c r="C3" s="1">
        <v>1</v>
      </c>
      <c r="D3" s="1">
        <v>24.29</v>
      </c>
      <c r="E3" s="2" t="s">
        <v>8</v>
      </c>
      <c r="F3" s="3"/>
    </row>
    <row r="4" spans="1:6" x14ac:dyDescent="0.25">
      <c r="A4" s="1" t="s">
        <v>9</v>
      </c>
      <c r="B4" s="1">
        <v>3.32</v>
      </c>
      <c r="C4" s="1">
        <v>1</v>
      </c>
      <c r="D4" s="1">
        <f>C4*B4</f>
        <v>3.32</v>
      </c>
      <c r="E4" s="2" t="s">
        <v>10</v>
      </c>
    </row>
    <row r="5" spans="1:6" x14ac:dyDescent="0.25">
      <c r="A5" s="1" t="s">
        <v>11</v>
      </c>
      <c r="B5" s="1">
        <v>3.02</v>
      </c>
      <c r="C5" s="1">
        <v>1</v>
      </c>
      <c r="D5" s="1">
        <f>C5*B5</f>
        <v>3.02</v>
      </c>
      <c r="E5" s="2" t="s">
        <v>12</v>
      </c>
    </row>
    <row r="6" spans="1:6" x14ac:dyDescent="0.25">
      <c r="A6" s="1" t="s">
        <v>13</v>
      </c>
      <c r="B6" s="1">
        <v>26.97</v>
      </c>
      <c r="C6" s="1">
        <v>1</v>
      </c>
      <c r="D6" s="1">
        <v>26.97</v>
      </c>
      <c r="E6" s="2" t="s">
        <v>14</v>
      </c>
    </row>
    <row r="7" spans="1:6" x14ac:dyDescent="0.25">
      <c r="A7" s="1" t="s">
        <v>15</v>
      </c>
      <c r="B7" s="1">
        <v>9.4600000000000009</v>
      </c>
      <c r="C7" s="1">
        <v>1</v>
      </c>
      <c r="D7" s="1">
        <v>9.4600000000000009</v>
      </c>
      <c r="E7" s="2" t="s">
        <v>16</v>
      </c>
    </row>
    <row r="8" spans="1:6" x14ac:dyDescent="0.25">
      <c r="A8" s="1" t="s">
        <v>17</v>
      </c>
      <c r="B8" s="1">
        <v>14.85</v>
      </c>
      <c r="C8" s="1">
        <v>1</v>
      </c>
      <c r="D8" s="1">
        <v>14.85</v>
      </c>
      <c r="E8" s="2" t="s">
        <v>18</v>
      </c>
    </row>
    <row r="9" spans="1:6" customFormat="1" x14ac:dyDescent="0.25">
      <c r="A9" s="1" t="s">
        <v>19</v>
      </c>
      <c r="B9" s="1">
        <v>5.61</v>
      </c>
      <c r="C9" s="1">
        <v>1</v>
      </c>
      <c r="D9" s="1">
        <v>5.61</v>
      </c>
      <c r="E9" s="2" t="s">
        <v>20</v>
      </c>
    </row>
    <row r="10" spans="1:6" x14ac:dyDescent="0.25">
      <c r="A10" s="1" t="s">
        <v>21</v>
      </c>
      <c r="B10" s="1">
        <v>2.1</v>
      </c>
      <c r="C10" s="1">
        <v>1</v>
      </c>
      <c r="D10" s="1">
        <v>2.1</v>
      </c>
      <c r="E10" s="2" t="s">
        <v>22</v>
      </c>
    </row>
    <row r="11" spans="1:6" x14ac:dyDescent="0.25">
      <c r="A11" s="1" t="s">
        <v>23</v>
      </c>
      <c r="B11" s="1">
        <v>10</v>
      </c>
      <c r="C11" s="1">
        <v>1</v>
      </c>
      <c r="D11" s="1">
        <v>10</v>
      </c>
      <c r="E11" s="2"/>
    </row>
    <row r="12" spans="1:6" x14ac:dyDescent="0.25">
      <c r="A12" s="1" t="s">
        <v>24</v>
      </c>
      <c r="D12" s="1">
        <f>SUM(D2:D11)</f>
        <v>147.33999999999997</v>
      </c>
    </row>
    <row r="13" spans="1:6" x14ac:dyDescent="0.25">
      <c r="E13" s="2"/>
    </row>
    <row r="14" spans="1:6" x14ac:dyDescent="0.25">
      <c r="E14" s="2"/>
    </row>
    <row r="15" spans="1:6" x14ac:dyDescent="0.25">
      <c r="E15" s="2"/>
    </row>
    <row r="16" spans="1:6" x14ac:dyDescent="0.25">
      <c r="E16" s="2"/>
    </row>
    <row r="17" spans="5:5" x14ac:dyDescent="0.25">
      <c r="E17" s="2"/>
    </row>
    <row r="20" spans="5:5" ht="33" customHeight="1" x14ac:dyDescent="0.25"/>
    <row r="21" spans="5:5" ht="33" customHeight="1" x14ac:dyDescent="0.25"/>
    <row r="22" spans="5:5" ht="33" customHeight="1" x14ac:dyDescent="0.25"/>
    <row r="23" spans="5:5" ht="33" customHeight="1" x14ac:dyDescent="0.25"/>
    <row r="24" spans="5:5" ht="33" customHeight="1" x14ac:dyDescent="0.25"/>
    <row r="25" spans="5:5" ht="33" customHeight="1" x14ac:dyDescent="0.25"/>
    <row r="26" spans="5:5" ht="33" customHeight="1" x14ac:dyDescent="0.25"/>
    <row r="27" spans="5:5" ht="33" customHeight="1" x14ac:dyDescent="0.25"/>
    <row r="28" spans="5:5" ht="33" customHeight="1" x14ac:dyDescent="0.25"/>
    <row r="29" spans="5:5" ht="33" customHeight="1" x14ac:dyDescent="0.25"/>
  </sheetData>
  <phoneticPr fontId="3" type="noConversion"/>
  <hyperlinks>
    <hyperlink ref="E4" r:id="rId1" xr:uid="{00000000-0004-0000-0000-000000000000}"/>
    <hyperlink ref="E5" r:id="rId2" xr:uid="{00000000-0004-0000-0000-000001000000}"/>
    <hyperlink ref="F3" r:id="rId3" display="https://item.taobao.com/item.htm?spm=a1z0d.6639537.1997196601.22.68107484cLQpPE&amp;id=580065645325" xr:uid="{00000000-0004-0000-0000-000002000000}"/>
    <hyperlink ref="E3" r:id="rId4" tooltip="https://detail.tmall.com/item.htm?spm=a1z10.3-b-s.w4011-21581912015.46.71f35535LxdLcu&amp;id=555789848567&amp;rn=e2e750ce90382a60f246903a6df7aee1&amp;abbucket=15" xr:uid="{00000000-0004-0000-0000-000003000000}"/>
    <hyperlink ref="E6" r:id="rId5" xr:uid="{00000000-0004-0000-0000-000004000000}"/>
    <hyperlink ref="E7" r:id="rId6" xr:uid="{00000000-0004-0000-0000-000005000000}"/>
    <hyperlink ref="E8" r:id="rId7" tooltip="https://detail.tmall.com/item.htm?spm=a230r.1.14.111.147b4ab6ERFRoW&amp;id=634372706362&amp;ns=1&amp;abbucket=7" xr:uid="{00000000-0004-0000-0000-000006000000}"/>
    <hyperlink ref="E9" r:id="rId8" xr:uid="{00000000-0004-0000-0000-000007000000}"/>
    <hyperlink ref="E10" r:id="rId9" xr:uid="{00000000-0004-0000-0000-000008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Fu</cp:lastModifiedBy>
  <dcterms:created xsi:type="dcterms:W3CDTF">2020-04-01T02:19:00Z</dcterms:created>
  <dcterms:modified xsi:type="dcterms:W3CDTF">2023-12-22T04:42:27Z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